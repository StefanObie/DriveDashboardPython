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defaultThemeVersion="166925"/>
  <mc:AlternateContent xmlns:mc="http://schemas.openxmlformats.org/markup-compatibility/2006">
    <mc:Choice Requires="x15">
      <x15ac:absPath xmlns:x15ac="http://schemas.microsoft.com/office/spreadsheetml/2010/11/ac" url="https://d.docs.live.net/2fd3bccd6dbaea2b/GitGud/ExcelDriveSummary/"/>
    </mc:Choice>
  </mc:AlternateContent>
  <xr:revisionPtr revIDLastSave="125" documentId="8_{F2A937F3-0E1A-44F6-A6BE-5C516EDE833A}" xr6:coauthVersionLast="47" xr6:coauthVersionMax="47" xr10:uidLastSave="{032D054F-9B93-43F3-A70C-E1494655C9BF}"/>
  <bookViews>
    <workbookView xWindow="-120" yWindow="-120" windowWidth="20730" windowHeight="11040" xr2:uid="{B12B6E18-E294-4985-A977-422328ADD677}"/>
  </bookViews>
  <sheets>
    <sheet name="DEV" sheetId="9" r:id="rId1"/>
  </sheets>
  <definedNames>
    <definedName name="_xleta.TODAY" hidden="1" xlm="1">#NAME?</definedName>
    <definedName name="Username" localSheetId="0">DEV!$J$23</definedName>
    <definedName name="Username">#REF!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9" l="1"/>
  <c r="J33" i="9"/>
  <c r="J27" i="9"/>
  <c r="J26" i="9"/>
  <c r="I26" i="9"/>
  <c r="P17" i="9" a="1"/>
  <c r="P17" i="9" s="1"/>
  <c r="O17" i="9" a="1"/>
  <c r="O17" i="9" s="1"/>
  <c r="N17" i="9" a="1"/>
  <c r="N17" i="9" s="1"/>
  <c r="N15" i="9"/>
  <c r="F14" i="9"/>
  <c r="C14" i="9"/>
  <c r="G13" i="9"/>
  <c r="G14" i="9" s="1"/>
  <c r="J24" i="9" s="1"/>
  <c r="C10" i="9"/>
  <c r="C7" i="9"/>
  <c r="G6" i="9"/>
  <c r="F6" i="9"/>
  <c r="E5" i="9"/>
  <c r="G7" i="9" l="1"/>
  <c r="J28" i="9"/>
  <c r="G9" i="9" s="1"/>
  <c r="C6" i="9" s="1"/>
  <c r="C9" i="9"/>
  <c r="F7" i="9"/>
  <c r="J25" i="9"/>
  <c r="C8" i="9"/>
  <c r="G8" i="9"/>
  <c r="F8" i="9"/>
  <c r="C11" i="9" l="1"/>
  <c r="C12" i="9" l="1"/>
  <c r="J29" i="9"/>
  <c r="J30" i="9" s="1"/>
  <c r="J31" i="9" s="1" a="1"/>
  <c r="J31" i="9" s="1"/>
  <c r="F9" i="9" s="1"/>
  <c r="C16" i="9"/>
  <c r="J32" i="9"/>
  <c r="C15" i="9"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<sst xmlns="http://schemas.openxmlformats.org/spreadsheetml/2006/main" count="82" uniqueCount="56">
  <si>
    <t>Fuel Cash Back in Miles</t>
  </si>
  <si>
    <t>Qualifying Fuel Spend</t>
  </si>
  <si>
    <t>Vitality Drive Status</t>
  </si>
  <si>
    <t>Diamond</t>
  </si>
  <si>
    <t>Accumulated Points</t>
  </si>
  <si>
    <t>Gold</t>
  </si>
  <si>
    <t>MultiPoint Check</t>
  </si>
  <si>
    <t>Silver</t>
  </si>
  <si>
    <t>Distance Points</t>
  </si>
  <si>
    <t>Bronze</t>
  </si>
  <si>
    <t>Night Time Driving</t>
  </si>
  <si>
    <t>Blue</t>
  </si>
  <si>
    <t>Claim Free Years</t>
  </si>
  <si>
    <t>Fuel %</t>
  </si>
  <si>
    <t>Category</t>
  </si>
  <si>
    <t>Points</t>
  </si>
  <si>
    <t>Upper</t>
  </si>
  <si>
    <t>Lower</t>
  </si>
  <si>
    <t>Driving Profile</t>
  </si>
  <si>
    <t>Distance</t>
  </si>
  <si>
    <t>Predict Status</t>
  </si>
  <si>
    <t>Remaining</t>
  </si>
  <si>
    <t>Driving Status</t>
  </si>
  <si>
    <t>Daily Average</t>
  </si>
  <si>
    <t>Night Time Drive</t>
  </si>
  <si>
    <t>Extracted Data</t>
  </si>
  <si>
    <t>Value</t>
  </si>
  <si>
    <t>Calculated Data</t>
  </si>
  <si>
    <t>Username</t>
  </si>
  <si>
    <t>Description</t>
  </si>
  <si>
    <t>Night Extr or Calc</t>
  </si>
  <si>
    <t>Night Pts Tolerance</t>
  </si>
  <si>
    <t>Days Past</t>
  </si>
  <si>
    <t>Days Left</t>
  </si>
  <si>
    <t>Last Month's Status</t>
  </si>
  <si>
    <t>Distance Upper Limit</t>
  </si>
  <si>
    <t>Config Data</t>
  </si>
  <si>
    <t>Rem Dist Points</t>
  </si>
  <si>
    <t>Rem - Dist</t>
  </si>
  <si>
    <t>#D9B3FF</t>
  </si>
  <si>
    <t>#FFD966</t>
  </si>
  <si>
    <t>#DBDBDB</t>
  </si>
  <si>
    <t>#F4B084</t>
  </si>
  <si>
    <t>#8EA9DB</t>
  </si>
  <si>
    <t>Color</t>
  </si>
  <si>
    <t>Remaining Fuel Spend</t>
  </si>
  <si>
    <t>End of Month</t>
  </si>
  <si>
    <t>Duration</t>
  </si>
  <si>
    <t>Distance Kilometers</t>
  </si>
  <si>
    <t>Total</t>
  </si>
  <si>
    <t>Penalty Weight</t>
  </si>
  <si>
    <t>Min Fuel or Points</t>
  </si>
  <si>
    <t>Report Date</t>
  </si>
  <si>
    <t>Current Drive Points</t>
  </si>
  <si>
    <t>Stefan</t>
  </si>
  <si>
    <t>Month-to-Date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</si>
</sst>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0.0"/>
    <numFmt numFmtId="165" formatCode="[$R-1C09]#,##0.00"/>
    <numFmt numFmtId="166" formatCode="&quot;R&quot;#,##0"/>
    <numFmt numFmtId="167" formatCode="[$£-809]#,##0"/>
  </numFmts>
  <fonts count="7" x14ac:knownFonts="1">
    <font>
      <sz val="11"/>
      <color theme="1"/>
      <name val="Calibri"/>
      <family val="2"/>
      <scheme val="minor"/>
    </font>
    <font>
      <sz val="11"/>
      <color theme="1"/>
      <name val="Calibri"/>
      <family val="2"/>
      <scheme val="minor"/>
    </font>
    <font>
      <sz val="11"/>
      <name val="Calibri"/>
      <family val="2"/>
      <scheme val="minor"/>
    </font>
    <font>
      <sz val="22"/>
      <color theme="1"/>
      <name val="Calibri"/>
      <family val="2"/>
      <scheme val="minor"/>
    </font>
    <font>
      <sz val="11"/>
      <color theme="0"/>
      <name val="Calibri"/>
      <family val="2"/>
      <scheme val="minor"/>
    </font>
    <font>
      <sz val="10"/>
      <color theme="1"/>
      <name val="72 Monospace"/>
      <family val="3"/>
    </font>
    <font>
      <sz val="20"/>
      <color theme="1"/>
      <name val="Calibri"/>
      <family val="2"/>
      <scheme val="minor"/>
    </font>
  </fonts>
  <fills count="10">
    <fill>
      <patternFill patternType="none"/>
    </fill>
    <fill>
      <patternFill patternType="gray125"/>
    </fill>
    <fill>
      <patternFill patternType="solid">
        <fgColor theme="7"/>
      </patternFill>
    </fill>
    <fill>
      <patternFill patternType="solid">
        <fgColor theme="4" tint="0.39994506668294322"/>
        <bgColor indexed="64"/>
      </patternFill>
    </fill>
    <fill>
      <patternFill patternType="solid">
        <fgColor theme="5" tint="0.39994506668294322"/>
        <bgColor indexed="64"/>
      </patternFill>
    </fill>
    <fill>
      <patternFill patternType="solid">
        <fgColor theme="6" tint="0.39994506668294322"/>
        <bgColor indexed="64"/>
      </patternFill>
    </fill>
    <fill>
      <patternFill patternType="solid">
        <fgColor theme="7" tint="0.39994506668294322"/>
        <bgColor indexed="64"/>
      </patternFill>
    </fill>
    <fill>
      <patternFill patternType="solid">
        <fgColor rgb="FFD9B3FF"/>
        <bgColor indexed="64"/>
      </patternFill>
    </fill>
    <fill>
      <patternFill patternType="solid">
        <fgColor theme="6" tint="0.59996337778862885"/>
        <bgColor indexed="64"/>
      </patternFill>
    </fill>
    <fill>
      <patternFill patternType="solid">
        <fgColor theme="2" tint="-9.9978637043366805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style="dotted">
        <color indexed="64"/>
      </bottom>
      <diagonal/>
    </border>
    <border>
      <left style="thin">
        <color indexed="64"/>
      </left>
      <right style="thin">
        <color indexed="64"/>
      </right>
      <top style="thin">
        <color indexed="64"/>
      </top>
      <bottom style="dotted">
        <color indexed="64"/>
      </bottom>
      <diagonal/>
    </border>
    <border>
      <left style="thin">
        <color indexed="64"/>
      </left>
      <right/>
      <top style="dotted">
        <color indexed="64"/>
      </top>
      <bottom style="thin">
        <color indexed="64"/>
      </bottom>
      <diagonal/>
    </border>
    <border>
      <left style="thin">
        <color indexed="64"/>
      </left>
      <right style="thin">
        <color indexed="64"/>
      </right>
      <top style="dotted">
        <color indexed="64"/>
      </top>
      <bottom style="thin">
        <color indexed="64"/>
      </bottom>
      <diagonal/>
    </border>
    <border>
      <left style="thin">
        <color indexed="64"/>
      </left>
      <right/>
      <top style="dotted">
        <color indexed="64"/>
      </top>
      <bottom style="dotted">
        <color indexed="64"/>
      </bottom>
      <diagonal/>
    </border>
    <border>
      <left style="thin">
        <color indexed="64"/>
      </left>
      <right style="thin">
        <color indexed="64"/>
      </right>
      <top style="dotted">
        <color indexed="64"/>
      </top>
      <bottom style="dotted">
        <color indexed="64"/>
      </bottom>
      <diagonal/>
    </border>
  </borders>
  <cellStyleXfs count="9">
    <xf numFmtId="0" fontId="0" fillId="0" borderId="0"/>
    <xf numFmtId="0" fontId="1" fillId="5" borderId="1" applyNumberFormat="0" applyBorder="0" applyAlignment="0" applyProtection="0">
      <alignment horizontal="center" vertical="center"/>
    </xf>
    <xf numFmtId="0" fontId="1" fillId="8" borderId="1" applyNumberFormat="0" applyBorder="0" applyAlignment="0" applyProtection="0">
      <alignment horizontal="center" vertical="center"/>
    </xf>
    <xf numFmtId="0" fontId="4" fillId="2" borderId="0" applyNumberFormat="0" applyBorder="0" applyAlignment="0" applyProtection="0"/>
    <xf numFmtId="0" fontId="1" fillId="7" borderId="1" applyNumberFormat="0" applyFont="0" applyBorder="0" applyAlignment="0" applyProtection="0">
      <alignment horizontal="center" vertical="center"/>
    </xf>
    <xf numFmtId="0" fontId="1" fillId="6" borderId="1" applyNumberFormat="0" applyFont="0" applyBorder="0" applyAlignment="0" applyProtection="0">
      <alignment horizontal="center" vertical="center"/>
    </xf>
    <xf numFmtId="0" fontId="1" fillId="4" borderId="1" applyNumberFormat="0" applyFont="0" applyBorder="0" applyAlignment="0" applyProtection="0">
      <alignment horizontal="center" vertical="center"/>
    </xf>
    <xf numFmtId="0" fontId="1" fillId="3" borderId="0" applyNumberFormat="0" applyFont="0" applyBorder="0" applyAlignment="0" applyProtection="0">
      <alignment horizontal="center" vertical="center"/>
    </xf>
    <xf numFmtId="0" fontId="1" fillId="8" borderId="0" applyNumberFormat="0" applyFont="0" applyBorder="0" applyAlignment="0" applyProtection="0"/>
  </cellStyleXfs>
  <cellXfs count="71">
    <xf numFmtId="0" fontId="0" fillId="0" borderId="0" xfId="0"/>
    <xf numFmtId="0" fontId="0" fillId="0" borderId="1" xfId="0" applyBorder="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65" fontId="0" fillId="0" borderId="0" xfId="0" applyNumberFormat="1" applyAlignment="1">
      <alignment horizontal="center" vertical="center"/>
    </xf>
    <xf numFmtId="0" fontId="0" fillId="0" borderId="0" xfId="0" applyAlignment="1">
      <alignment vertical="center"/>
    </xf>
    <xf numFmtId="164" fontId="0" fillId="0" borderId="1" xfId="0" applyNumberFormat="1" applyBorder="1" applyAlignment="1">
      <alignment horizontal="center" vertical="center"/>
    </xf>
    <xf numFmtId="1" fontId="0" fillId="0" borderId="1" xfId="0" applyNumberFormat="1" applyBorder="1" applyAlignment="1">
      <alignment horizontal="center" vertical="center"/>
    </xf>
    <xf numFmtId="0" fontId="2" fillId="0" borderId="0" xfId="0" applyFont="1"/>
    <xf numFmtId="0" fontId="0" fillId="0" borderId="0" xfId="0" applyAlignment="1">
      <alignment horizontal="left"/>
    </xf>
    <xf numFmtId="1" fontId="0" fillId="0" borderId="0" xfId="0" applyNumberFormat="1"/>
    <xf numFmtId="0" fontId="0" fillId="0" borderId="2" xfId="0" applyBorder="1" applyAlignment="1">
      <alignment horizontal="center" vertical="center"/>
    </xf>
    <xf numFmtId="0" fontId="0" fillId="0" borderId="5" xfId="0" applyBorder="1" applyAlignment="1">
      <alignment horizontal="center" vertical="center"/>
    </xf>
    <xf numFmtId="0" fontId="0" fillId="0" borderId="3" xfId="0" applyBorder="1" applyAlignment="1">
      <alignment horizontal="center" vertical="center"/>
    </xf>
    <xf numFmtId="0" fontId="0" fillId="0" borderId="9" xfId="0" applyBorder="1" applyAlignment="1">
      <alignment horizontal="center" vertical="center"/>
    </xf>
    <xf numFmtId="0" fontId="1" fillId="7" borderId="8" xfId="4" applyBorder="1" applyAlignment="1">
      <alignment horizontal="center" vertical="center"/>
    </xf>
    <xf numFmtId="0" fontId="1" fillId="7" borderId="2" xfId="4" applyBorder="1" applyAlignment="1">
      <alignment horizontal="center" vertical="center"/>
    </xf>
    <xf numFmtId="0" fontId="1" fillId="7" borderId="6" xfId="4" applyBorder="1" applyAlignment="1">
      <alignment horizontal="center" vertical="center"/>
    </xf>
    <xf numFmtId="0" fontId="1" fillId="6" borderId="1" xfId="5" applyBorder="1" applyAlignment="1">
      <alignment horizontal="center" vertical="center"/>
    </xf>
    <xf numFmtId="9" fontId="1" fillId="6" borderId="1" xfId="5" applyNumberFormat="1" applyBorder="1" applyAlignment="1">
      <alignment horizontal="center" vertical="center"/>
    </xf>
    <xf numFmtId="0" fontId="0" fillId="3" borderId="1" xfId="7" applyFont="1" applyBorder="1" applyAlignment="1">
      <alignment horizontal="center" vertical="center"/>
    </xf>
    <xf numFmtId="9" fontId="0" fillId="3" borderId="1" xfId="7" applyNumberFormat="1" applyFont="1" applyBorder="1" applyAlignment="1">
      <alignment horizontal="center" vertical="center"/>
    </xf>
    <xf numFmtId="0" fontId="0" fillId="4" borderId="1" xfId="6" applyFont="1" applyBorder="1" applyAlignment="1">
      <alignment horizontal="center" vertical="center"/>
    </xf>
    <xf numFmtId="9" fontId="0" fillId="4" borderId="1" xfId="6" applyNumberFormat="1" applyFont="1" applyBorder="1" applyAlignment="1">
      <alignment horizontal="center" vertical="center"/>
    </xf>
    <xf numFmtId="0" fontId="0" fillId="8" borderId="1" xfId="8" applyFont="1" applyBorder="1" applyAlignment="1">
      <alignment horizontal="center" vertical="center"/>
    </xf>
    <xf numFmtId="9" fontId="0" fillId="8" borderId="1" xfId="8" applyNumberFormat="1" applyFont="1" applyBorder="1" applyAlignment="1">
      <alignment horizontal="center" vertical="center"/>
    </xf>
    <xf numFmtId="0" fontId="0" fillId="6" borderId="7" xfId="5" applyFont="1" applyBorder="1" applyAlignment="1">
      <alignment horizontal="center" vertical="center"/>
    </xf>
    <xf numFmtId="0" fontId="0" fillId="6" borderId="1" xfId="5" applyFont="1" applyBorder="1" applyAlignment="1">
      <alignment horizontal="center" vertical="center"/>
    </xf>
    <xf numFmtId="0" fontId="0" fillId="6" borderId="5" xfId="5" applyFont="1" applyBorder="1" applyAlignment="1">
      <alignment horizontal="center" vertical="center"/>
    </xf>
    <xf numFmtId="0" fontId="0" fillId="8" borderId="7" xfId="8" applyFont="1" applyBorder="1" applyAlignment="1">
      <alignment horizontal="center" vertical="center"/>
    </xf>
    <xf numFmtId="0" fontId="0" fillId="4" borderId="7" xfId="6" applyFont="1" applyBorder="1" applyAlignment="1">
      <alignment horizontal="center" vertical="center"/>
    </xf>
    <xf numFmtId="0" fontId="0" fillId="4" borderId="5" xfId="6" applyFont="1" applyBorder="1" applyAlignment="1">
      <alignment horizontal="center" vertical="center"/>
    </xf>
    <xf numFmtId="0" fontId="0" fillId="8" borderId="5" xfId="8" applyFont="1" applyBorder="1" applyAlignment="1">
      <alignment horizontal="center" vertical="center"/>
    </xf>
    <xf numFmtId="0" fontId="0" fillId="3" borderId="7" xfId="7" applyFont="1" applyBorder="1" applyAlignment="1">
      <alignment horizontal="center" vertical="center"/>
    </xf>
    <xf numFmtId="0" fontId="0" fillId="3" borderId="5" xfId="7" applyFont="1" applyBorder="1" applyAlignment="1">
      <alignment horizontal="center" vertical="center"/>
    </xf>
    <xf numFmtId="166" fontId="0" fillId="0" borderId="1" xfId="0" applyNumberFormat="1" applyBorder="1" applyAlignment="1">
      <alignment horizontal="center" vertical="center"/>
    </xf>
    <xf numFmtId="0" fontId="0" fillId="0" borderId="1" xfId="0" applyBorder="1" applyAlignment="1">
      <alignment horizontal="center" vertical="center"/>
      <extLst>
        <ext xmlns:xfpb="http://schemas.microsoft.com/office/spreadsheetml/2022/featurepropertybag" uri="{C7286773-470A-42A8-94C5-96B5CB345126}">
          <xfpb:xfComplement i="0"/>
        </ext>
      </extLst>
    </xf>
    <xf numFmtId="1" fontId="0" fillId="0" borderId="5" xfId="0" applyNumberFormat="1" applyBorder="1" applyAlignment="1">
      <alignment horizontal="center" vertical="center"/>
    </xf>
    <xf numFmtId="0" fontId="3" fillId="0" borderId="0" xfId="0" applyFont="1" applyAlignment="1">
      <alignment vertical="center"/>
    </xf>
    <xf numFmtId="0" fontId="0" fillId="3" borderId="3" xfId="7" applyFont="1" applyBorder="1" applyAlignment="1">
      <alignment horizontal="center" vertical="center"/>
    </xf>
    <xf numFmtId="0" fontId="0" fillId="4" borderId="3" xfId="6" applyFont="1" applyBorder="1" applyAlignment="1">
      <alignment horizontal="center" vertical="center"/>
    </xf>
    <xf numFmtId="0" fontId="0" fillId="8" borderId="3" xfId="8" applyFont="1" applyBorder="1" applyAlignment="1">
      <alignment horizontal="center" vertical="center"/>
    </xf>
    <xf numFmtId="0" fontId="1" fillId="6" borderId="3" xfId="5" applyBorder="1" applyAlignment="1">
      <alignment horizontal="center" vertical="center"/>
    </xf>
    <xf numFmtId="0" fontId="1" fillId="7" borderId="9" xfId="4" applyBorder="1" applyAlignment="1">
      <alignment horizontal="center" vertical="center"/>
    </xf>
    <xf numFmtId="0" fontId="1" fillId="7" borderId="5" xfId="4" applyBorder="1" applyAlignment="1">
      <alignment horizontal="center" vertical="center"/>
    </xf>
    <xf numFmtId="9" fontId="1" fillId="7" borderId="5" xfId="4" applyNumberFormat="1" applyBorder="1" applyAlignment="1">
      <alignment horizontal="center" vertical="center"/>
    </xf>
    <xf numFmtId="9" fontId="5" fillId="3" borderId="2" xfId="7" applyNumberFormat="1" applyFont="1" applyBorder="1" applyAlignment="1">
      <alignment horizontal="center" vertical="center"/>
    </xf>
    <xf numFmtId="9" fontId="5" fillId="4" borderId="2" xfId="6" applyNumberFormat="1" applyFont="1" applyBorder="1" applyAlignment="1">
      <alignment horizontal="center" vertical="center"/>
    </xf>
    <xf numFmtId="9" fontId="5" fillId="8" borderId="2" xfId="8" applyNumberFormat="1" applyFont="1" applyBorder="1" applyAlignment="1">
      <alignment horizontal="center" vertical="center"/>
    </xf>
    <xf numFmtId="9" fontId="5" fillId="6" borderId="2" xfId="5" applyNumberFormat="1" applyFont="1" applyBorder="1" applyAlignment="1">
      <alignment horizontal="center" vertical="center"/>
    </xf>
    <xf numFmtId="9" fontId="5" fillId="7" borderId="6" xfId="4" applyNumberFormat="1" applyFont="1" applyBorder="1" applyAlignment="1">
      <alignment horizontal="center" vertical="center"/>
    </xf>
    <xf numFmtId="167" fontId="0" fillId="0" borderId="1" xfId="0" applyNumberFormat="1" applyBorder="1" applyAlignment="1">
      <alignment horizontal="center" vertical="center"/>
    </xf>
    <xf numFmtId="1" fontId="0" fillId="0" borderId="7" xfId="0" applyNumberFormat="1" applyBorder="1" applyAlignment="1">
      <alignment horizontal="center" vertical="center"/>
    </xf>
    <xf numFmtId="0" fontId="0" fillId="9" borderId="6" xfId="0" applyFill="1" applyBorder="1" applyAlignment="1">
      <alignment horizontal="center" vertical="center"/>
    </xf>
    <xf numFmtId="0" fontId="0" fillId="9" borderId="5" xfId="0" applyFill="1" applyBorder="1" applyAlignment="1">
      <alignment horizontal="center" vertical="center"/>
    </xf>
    <xf numFmtId="0" fontId="0" fillId="9" borderId="1" xfId="0" applyFill="1" applyBorder="1" applyAlignment="1">
      <alignment horizontal="center" vertical="center"/>
    </xf>
    <xf numFmtId="14" fontId="0" fillId="0" borderId="1" xfId="0" applyNumberFormat="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13" xfId="0" applyBorder="1" applyAlignment="1">
      <alignment horizontal="center" vertical="center"/>
    </xf>
    <xf numFmtId="0" fontId="0" fillId="0" borderId="14" xfId="0" applyBorder="1" applyAlignment="1">
      <alignment horizontal="center" vertical="center"/>
    </xf>
    <xf numFmtId="0" fontId="0" fillId="0" borderId="15" xfId="0" applyBorder="1" applyAlignment="1">
      <alignment horizontal="center" vertical="center"/>
    </xf>
    <xf numFmtId="1" fontId="0" fillId="0" borderId="11" xfId="0" applyNumberFormat="1" applyBorder="1" applyAlignment="1">
      <alignment horizontal="center" vertical="center"/>
    </xf>
    <xf numFmtId="1" fontId="0" fillId="0" borderId="15" xfId="0" applyNumberFormat="1" applyBorder="1" applyAlignment="1">
      <alignment horizontal="center" vertical="center"/>
    </xf>
    <xf numFmtId="0" fontId="0" fillId="9" borderId="2" xfId="0" applyFill="1" applyBorder="1" applyAlignment="1">
      <alignment horizontal="center" vertical="center"/>
    </xf>
    <xf numFmtId="0" fontId="0" fillId="9" borderId="3" xfId="0" applyFill="1" applyBorder="1" applyAlignment="1">
      <alignment horizontal="center" vertical="center"/>
    </xf>
    <xf numFmtId="0" fontId="0" fillId="0" borderId="0" xfId="0" applyAlignment="1">
      <alignment horizontal="center" vertical="center"/>
    </xf>
    <xf numFmtId="0" fontId="0" fillId="9" borderId="4" xfId="0" applyFill="1" applyBorder="1" applyAlignment="1">
      <alignment horizontal="center" vertical="center"/>
    </xf>
    <xf numFmtId="0" fontId="0" fillId="9" borderId="1" xfId="0" applyFill="1" applyBorder="1" applyAlignment="1">
      <alignment horizontal="center" vertical="center"/>
    </xf>
    <xf numFmtId="0" fontId="6" fillId="0" borderId="0" xfId="0" applyFont="1" applyAlignment="1">
      <alignment horizontal="center" vertical="center"/>
    </xf>
  </cellXfs>
  <cellStyles count="9">
    <cellStyle name="Accent4" xfId="3" builtinId="41" customBuiltin="1"/>
    <cellStyle name="Blue" xfId="7" xr:uid="{E912B0DD-4F25-429A-A7CF-28E17D13FF3E}"/>
    <cellStyle name="Bronze" xfId="6" xr:uid="{FB75478B-E7AD-4FC7-BB0B-4D67AC02DAE5}"/>
    <cellStyle name="Calculation" xfId="2" builtinId="22" customBuiltin="1"/>
    <cellStyle name="Diamond" xfId="4" xr:uid="{EA3E02B0-354F-4516-99B3-F8757878F5B1}"/>
    <cellStyle name="Gold" xfId="5" xr:uid="{E00110AA-F906-45FF-A4A7-EFA664692B0D}"/>
    <cellStyle name="Normal" xfId="0" builtinId="0"/>
    <cellStyle name="Percent" xfId="1" builtinId="5" customBuiltin="1"/>
    <cellStyle name="Silver" xfId="8" xr:uid="{680A1B4F-1213-4B73-8DCC-846FF00C6411}"/>
  </cellStyles>
  <dxfs count="45">
    <dxf>
      <font>
        <b val="0"/>
        <i val="0"/>
        <strike val="0"/>
        <condense val="0"/>
        <extend val="0"/>
        <outline val="0"/>
        <shadow val="0"/>
        <u val="none"/>
        <vertAlign val="baseline"/>
        <sz val="10"/>
        <color theme="1"/>
        <name val="72 Monospace"/>
        <family val="3"/>
        <scheme val="none"/>
      </font>
      <numFmt numFmtId="13" formatCode="0%"/>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numFmt numFmtId="13" formatCode="0%"/>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minor"/>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border outline="0">
        <bottom style="thin">
          <color rgb="FF000000"/>
        </bottom>
      </border>
    </dxf>
    <dxf>
      <font>
        <b val="0"/>
        <i val="0"/>
        <strike val="0"/>
        <condense val="0"/>
        <extend val="0"/>
        <outline val="0"/>
        <shadow val="0"/>
        <u val="none"/>
        <vertAlign val="baseline"/>
        <sz val="11"/>
        <color theme="1"/>
        <name val="Calibri"/>
        <family val="2"/>
        <scheme val="minor"/>
      </font>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left style="thin">
          <color indexed="64"/>
        </left>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rgb="FF000000"/>
        </top>
      </border>
    </dxf>
    <dxf>
      <border outline="0">
        <left style="thin">
          <color rgb="FF000000"/>
        </left>
        <right style="thin">
          <color rgb="FF000000"/>
        </right>
        <top style="thin">
          <color rgb="FF000000"/>
        </top>
        <bottom style="thin">
          <color rgb="FF000000"/>
        </bottom>
      </border>
    </dxf>
    <dxf>
      <alignment horizontal="center" vertical="center" textRotation="0" wrapText="0" indent="0" justifyLastLine="0" shrinkToFit="0" readingOrder="0"/>
    </dxf>
    <dxf>
      <border outline="0">
        <bottom style="thin">
          <color rgb="FF000000"/>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border>
        <top style="medium">
          <color rgb="FF000000"/>
        </top>
      </border>
    </dxf>
    <dxf>
      <font>
        <b val="0"/>
      </font>
      <border diagonalUp="0" diagonalDown="0">
        <left style="thin">
          <color rgb="FF000000"/>
        </left>
        <right style="thin">
          <color rgb="FF000000"/>
        </right>
        <top/>
        <bottom/>
        <vertical style="thin">
          <color rgb="FF000000"/>
        </vertical>
        <horizontal/>
      </border>
    </dxf>
    <dxf>
      <border diagonalUp="0" diagonalDown="0">
        <left style="thin">
          <color rgb="FF000000"/>
        </left>
        <right style="thin">
          <color rgb="FF000000"/>
        </right>
        <top style="thin">
          <color rgb="FF000000"/>
        </top>
        <bottom style="thin">
          <color rgb="FF000000"/>
        </bottom>
      </border>
    </dxf>
    <dxf>
      <fill>
        <patternFill patternType="none">
          <fgColor rgb="FF000000"/>
          <bgColor auto="1"/>
        </patternFill>
      </fill>
      <alignment horizontal="center" vertical="center" textRotation="0" wrapText="0" indent="0" justifyLastLine="0" shrinkToFit="0" readingOrder="0"/>
    </dxf>
    <dxf>
      <border outline="0">
        <bottom style="thin">
          <color rgb="FF000000"/>
        </bottom>
      </border>
    </dxf>
    <dxf>
      <fill>
        <patternFill patternType="solid">
          <fgColor indexed="64"/>
          <bgColor theme="2" tint="-9.9978637043366805E-2"/>
        </patternFill>
      </fill>
      <alignment horizontal="center" vertical="center" textRotation="0" wrapText="0" indent="0" justifyLastLine="0" shrinkToFit="0" readingOrder="0"/>
      <border diagonalUp="0" diagonalDown="0" outline="0">
        <left style="thin">
          <color indexed="64"/>
        </left>
        <right style="thin">
          <color indexed="64"/>
        </right>
        <top/>
        <bottom/>
      </border>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ill>
        <patternFill>
          <bgColor rgb="FFD9B3FF"/>
        </patternFill>
      </fill>
    </dxf>
    <dxf>
      <fill>
        <patternFill>
          <bgColor rgb="FFFFD966"/>
        </patternFill>
      </fill>
    </dxf>
    <dxf>
      <fill>
        <patternFill>
          <bgColor rgb="FFDBDBDB"/>
        </patternFill>
      </fill>
    </dxf>
    <dxf>
      <fill>
        <patternFill>
          <bgColor rgb="FFF4B084"/>
        </patternFill>
      </fill>
    </dxf>
    <dxf>
      <fill>
        <patternFill>
          <bgColor rgb="FF8EA9DB"/>
        </patternFill>
      </fill>
    </dxf>
    <dxf>
      <font>
        <b val="0"/>
        <i val="0"/>
        <strike val="0"/>
      </font>
      <border>
        <left style="thin">
          <color auto="1"/>
        </left>
        <right style="thin">
          <color auto="1"/>
        </right>
        <top style="thin">
          <color auto="1"/>
        </top>
        <bottom style="thin">
          <color auto="1"/>
        </bottom>
        <vertical style="thin">
          <color auto="1"/>
        </vertical>
        <horizontal style="thin">
          <color auto="1"/>
        </horizontal>
      </border>
    </dxf>
    <dxf>
      <font>
        <b val="0"/>
        <i val="0"/>
        <strike val="0"/>
      </font>
      <border>
        <left style="thin">
          <color auto="1"/>
        </left>
        <right style="thin">
          <color auto="1"/>
        </right>
        <top style="thin">
          <color auto="1"/>
        </top>
        <bottom style="medium">
          <color auto="1"/>
        </bottom>
        <vertical style="thin">
          <color auto="1"/>
        </vertical>
        <horizontal style="thin">
          <color auto="1"/>
        </horizontal>
      </border>
    </dxf>
  </dxfs>
  <tableStyles count="2" defaultTableStyle="TableStyleMedium2" defaultPivotStyle="PivotStyleLight16">
    <tableStyle name="Table Style 1" pivot="0" count="1" xr9:uid="{6816E4B5-3A62-4F29-9CCF-2FA42321C8A7}">
      <tableStyleElement type="wholeTable" dxfId="44"/>
    </tableStyle>
    <tableStyle name="Table Style 1 2" pivot="0" count="1" xr9:uid="{47E29925-DA33-445C-86BD-CDD11250CDC2}">
      <tableStyleElement type="wholeTable" dxfId="43"/>
    </tableStyle>
  </tableStyles>
  <colors>
    <mruColors>
      <color rgb="FFFFD966"/>
      <color rgb="FFDBDBDB"/>
      <color rgb="FFF4B084"/>
      <color rgb="FF8EA9DB"/>
      <color rgb="FFD9B3FF"/>
      <color rgb="FFFED9FF"/>
      <color rgb="FFCC99FF"/>
      <color rgb="FFEDC1FF"/>
      <color rgb="FFE6D7FD"/>
      <color rgb="FFC29DF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styles" Target="styles.xml"/><Relationship Id="rId7" Type="http://schemas.openxmlformats.org/officeDocument/2006/relationships/calcChain" Target="calcChain.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22/11/relationships/FeaturePropertyBag" Target="featurePropertyBag/featurePropertyBag.xml"/><Relationship Id="rId5" Type="http://schemas.openxmlformats.org/officeDocument/2006/relationships/sheetMetadata" Target="metadata.xml"/><Relationship Id="rId4" Type="http://schemas.openxmlformats.org/officeDocument/2006/relationships/sharedStrings" Target="sharedStrings.xml"/><Relationship Id="rId9" Type="http://schemas.microsoft.com/office/2006/relationships/vbaProject" Target="vbaProject.bin"/></Relationships>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9B21A8C-E236-452D-92A3-0E88998A4D44}" name="NightTimeDrive1114" displayName="NightTimeDrive1114" ref="E12:G14" totalsRowCount="1" headerRowDxfId="32" dataDxfId="30" totalsRowDxfId="28" headerRowBorderDxfId="31" tableBorderDxfId="29" totalsRowBorderDxfId="27">
  <autoFilter ref="E12:G13" xr:uid="{932FCD99-6FCF-4AE6-A66E-74A568E6D121}">
    <filterColumn colId="0" hiddenButton="1"/>
    <filterColumn colId="1" hiddenButton="1"/>
    <filterColumn colId="2" hiddenButton="1"/>
  </autoFilter>
  <tableColumns count="3">
    <tableColumn id="1" xr3:uid="{25A6E580-07FC-4C04-A2B5-BC624C8BD5C4}" name="Penalty Weight" totalsRowLabel="Total" dataDxfId="26" totalsRowDxfId="25"/>
    <tableColumn id="2" xr3:uid="{189C6E8F-9F46-46B9-B16D-C94C7825F1B8}" name="Duration" totalsRowFunction="sum" dataDxfId="24" totalsRowDxfId="23"/>
    <tableColumn id="3" xr3:uid="{878B2D46-65F7-42BB-9068-C59E26FE227B}" name="Points" totalsRowFunction="sum" dataDxfId="22" totalsRowDxfId="21">
      <calculatedColumnFormula>NightTimeDrive1114[[#This Row],[Penalty Weight]]*NightTimeDrive1114[[#This Row],[Duration]]</calculatedColumnFormula>
    </tableColumn>
  </tableColumns>
  <tableStyleInfo name="Table Style 1"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95447DE-75E2-4C54-8657-FA8AAE628524}" name="DistancePointsStefan" displayName="DistancePointsStefan" ref="L6:R13" totalsRowShown="0" headerRowDxfId="20" dataDxfId="18" headerRowBorderDxfId="19" tableBorderDxfId="17" totalsRowBorderDxfId="16">
  <autoFilter ref="L6:R13" xr:uid="{E011F3DC-4D15-4380-B07D-61D2F4291EE8}">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4A41B7CE-B079-49ED-9B82-23E166A80500}" name="Lower" dataDxfId="15"/>
    <tableColumn id="2" xr3:uid="{3919B0AC-BFC6-4DAC-AA1C-D6659F924B43}" name="Upper" dataDxfId="14"/>
    <tableColumn id="3" xr3:uid="{B95527B0-1327-4D86-9647-BE8D037BD40C}" name="Blue" dataDxfId="13" dataCellStyle="Blue"/>
    <tableColumn id="4" xr3:uid="{C8BD6FD6-4F8C-42D4-B789-495DDA0180A0}" name="Bronze" dataDxfId="12" dataCellStyle="Bronze"/>
    <tableColumn id="5" xr3:uid="{A373AAD0-6377-4A5D-9174-9F57D52FA6C7}" name="Silver" dataDxfId="11" dataCellStyle="Silver"/>
    <tableColumn id="6" xr3:uid="{1EA50C42-54DA-42FB-A32B-D5D0A7357198}" name="Gold" dataDxfId="10" dataCellStyle="Gold"/>
    <tableColumn id="7" xr3:uid="{9C98A218-566D-471B-AB47-7F94AD0994D0}" name="Diamond" dataDxfId="9" dataCellStyle="Diamond"/>
  </tableColumns>
  <tableStyleInfo name="Table Style 1"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8D470AD6-96F8-4698-941F-66985F1001CF}" name="DrivingStatusStefan" displayName="DrivingStatusStefan" ref="M26:Q31" totalsRowShown="0" headerRowDxfId="8" headerRowBorderDxfId="7" tableBorderDxfId="6" totalsRowBorderDxfId="5">
  <autoFilter ref="M26:Q31" xr:uid="{DC26E8D9-5FBB-4486-917F-B1866C4C6343}">
    <filterColumn colId="0" hiddenButton="1"/>
    <filterColumn colId="1" hiddenButton="1"/>
    <filterColumn colId="2" hiddenButton="1"/>
    <filterColumn colId="3" hiddenButton="1"/>
    <filterColumn colId="4" hiddenButton="1"/>
  </autoFilter>
  <tableColumns count="5">
    <tableColumn id="1" xr3:uid="{5FB33F08-6E55-4FE0-BD39-386DDC6D7BE5}" name="Lower" dataDxfId="4" dataCellStyle="Silver"/>
    <tableColumn id="2" xr3:uid="{14F2414C-B6BA-4C12-9F70-C0FDA15A9D2D}" name="Upper" dataDxfId="3" dataCellStyle="Silver"/>
    <tableColumn id="3" xr3:uid="{87CA37C8-0852-4879-9342-9E9358014A54}" name="Category" dataDxfId="2" dataCellStyle="Silver"/>
    <tableColumn id="4" xr3:uid="{7FECB0F5-5838-4726-9B41-FD08680FB3FE}" name="Fuel %" dataDxfId="1" dataCellStyle="Silver"/>
    <tableColumn id="5" xr3:uid="{E5B7B8ED-1844-4AFE-9A37-E8C2DCC92DEA}" name="Color" dataDxfId="0" dataCellStyle="Silver"/>
  </tableColumns>
  <tableStyleInfo name="Table Style 1"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4"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13F03B-AF0B-4728-8963-A0E7AC82A27A}">
  <sheetPr codeName="Sheet4">
    <pageSetUpPr fitToPage="1"/>
  </sheetPr>
  <dimension ref="B2:AC33"/>
  <sheetViews>
    <sheetView tabSelected="1" zoomScaleNormal="100" workbookViewId="0">
      <selection activeCell="L16" sqref="L16"/>
    </sheetView>
  </sheetViews>
  <sheetFormatPr defaultColWidth="8.85546875" defaultRowHeight="15" x14ac:dyDescent="0.25"/>
  <cols>
    <col min="1" max="1" width="2.7109375" style="2" customWidth="1"/>
    <col min="2" max="2" width="25.140625" style="2" bestFit="1" customWidth="1"/>
    <col min="3" max="3" width="9.7109375" style="2" customWidth="1"/>
    <col min="4" max="4" width="2.7109375" style="2" customWidth="1"/>
    <col min="5" max="5" width="16.140625" customWidth="1"/>
    <col min="6" max="6" width="11.140625" style="2" bestFit="1" customWidth="1"/>
    <col min="7" max="7" width="9.7109375" style="2" customWidth="1"/>
    <col min="8" max="8" width="2.7109375" style="2" customWidth="1"/>
    <col min="9" max="9" width="22.42578125" style="2" bestFit="1" customWidth="1"/>
    <col min="10" max="10" width="10.7109375" style="2" bestFit="1" customWidth="1"/>
    <col min="11" max="11" width="2.7109375" style="2" customWidth="1"/>
    <col min="12" max="14" width="9.7109375" style="2" customWidth="1"/>
    <col min="15" max="15" width="10.5703125" style="2" customWidth="1"/>
    <col min="16" max="17" width="9.7109375" style="2" customWidth="1"/>
    <col min="18" max="18" width="11.42578125" style="2" customWidth="1"/>
    <col min="19" max="19" width="2.7109375" style="2" customWidth="1"/>
    <col min="20" max="20" width="9.7109375" style="5" customWidth="1"/>
    <col min="21" max="23" width="9.7109375" style="2" customWidth="1"/>
    <col min="24" max="24" width="8.85546875" style="2" customWidth="1"/>
    <col min="25" max="25" width="8.85546875" style="2"/>
    <col min="26" max="26" width="8.85546875" style="2" customWidth="1"/>
    <col min="27" max="16384" width="8.85546875" style="2"/>
  </cols>
  <sheetData>
    <row r="2" spans="2:29" ht="14.45" customHeight="1" x14ac:dyDescent="0.25">
      <c r="B2" s="70" t="str">
        <f>_xlfn.CONCAT("Drive Summary ",J18, " ",TEXT(J20, "mmmm yyyy"))</f>
        <v>Drive Summary Stefan May 2025</v>
      </c>
      <c r="C2" s="70"/>
      <c r="D2" s="70"/>
      <c r="E2" s="70"/>
      <c r="F2" s="70"/>
      <c r="G2" s="70"/>
      <c r="H2" s="38"/>
    </row>
    <row r="3" spans="2:29" ht="14.45" customHeight="1" x14ac:dyDescent="0.25">
      <c r="B3" s="70"/>
      <c r="C3" s="70"/>
      <c r="D3" s="70"/>
      <c r="E3" s="70"/>
      <c r="F3" s="70"/>
      <c r="G3" s="70"/>
      <c r="H3" s="38"/>
    </row>
    <row r="5" spans="2:29" x14ac:dyDescent="0.25">
      <c r="B5" s="53" t="s">
        <v>29</v>
      </c>
      <c r="C5" s="54" t="s">
        <v>26</v>
      </c>
      <c r="D5"/>
      <c r="E5" s="53" t="str">
        <f ca="1">TEXT(TODAY(), "mmmm yyyy")</f>
        <v>May 2025</v>
      </c>
      <c r="F5" s="53" t="s">
        <v>19</v>
      </c>
      <c r="G5" s="55" t="s">
        <v>15</v>
      </c>
      <c r="I5" s="69" t="s">
        <v>25</v>
      </c>
      <c r="J5" s="69"/>
      <c r="L5" s="69" t="s">
        <v>8</v>
      </c>
      <c r="M5" s="69"/>
      <c r="N5" s="69"/>
      <c r="O5" s="69"/>
      <c r="P5" s="69"/>
      <c r="Q5" s="69"/>
      <c r="R5" s="69"/>
      <c r="AB5" s="67"/>
      <c r="AC5" s="67"/>
    </row>
    <row r="6" spans="2:29" x14ac:dyDescent="0.25">
      <c r="B6" s="1" t="s">
        <v>18</v>
      </c>
      <c r="C6" s="7">
        <f>MIN(1500, IF($C$13,G7,G6+G9))</f>
        <v>1243</v>
      </c>
      <c r="E6" s="1" t="s">
        <v>55</v>
      </c>
      <c r="F6" s="7">
        <f>J11</f>
        <v>524</v>
      </c>
      <c r="G6" s="52">
        <f>J7</f>
        <v>1093</v>
      </c>
      <c r="I6" s="55" t="s">
        <v>29</v>
      </c>
      <c r="J6" s="55" t="s">
        <v>26</v>
      </c>
      <c r="L6" s="55" t="s">
        <v>17</v>
      </c>
      <c r="M6" s="55" t="s">
        <v>16</v>
      </c>
      <c r="N6" s="33" t="s">
        <v>11</v>
      </c>
      <c r="O6" s="30" t="s">
        <v>9</v>
      </c>
      <c r="P6" s="29" t="s">
        <v>7</v>
      </c>
      <c r="Q6" s="26" t="s">
        <v>5</v>
      </c>
      <c r="R6" s="15" t="s">
        <v>3</v>
      </c>
      <c r="AA6"/>
      <c r="AB6" s="9"/>
      <c r="AC6" s="9"/>
    </row>
    <row r="7" spans="2:29" x14ac:dyDescent="0.25">
      <c r="B7" s="1" t="s">
        <v>12</v>
      </c>
      <c r="C7" s="7">
        <f>J8</f>
        <v>300</v>
      </c>
      <c r="D7" s="3"/>
      <c r="E7" s="1" t="s">
        <v>46</v>
      </c>
      <c r="F7" s="7">
        <f>F6/J27*J26</f>
        <v>580.14285714285722</v>
      </c>
      <c r="G7" s="7">
        <f>G6/J27*J26</f>
        <v>1210.1071428571429</v>
      </c>
      <c r="I7" s="7" t="s">
        <v>18</v>
      </c>
      <c r="J7" s="7">
        <v>1093</v>
      </c>
      <c r="L7" s="13">
        <v>0</v>
      </c>
      <c r="M7" s="1">
        <v>299</v>
      </c>
      <c r="N7" s="20">
        <v>300</v>
      </c>
      <c r="O7" s="22">
        <v>300</v>
      </c>
      <c r="P7" s="24">
        <v>300</v>
      </c>
      <c r="Q7" s="27">
        <v>300</v>
      </c>
      <c r="R7" s="16">
        <v>300</v>
      </c>
      <c r="AB7" s="3"/>
    </row>
    <row r="8" spans="2:29" ht="15" customHeight="1" x14ac:dyDescent="0.25">
      <c r="B8" s="1" t="s">
        <v>10</v>
      </c>
      <c r="C8" s="7">
        <f>IF( AND( J9&lt;=J24+J19, J9&gt;=J24-J19 ), J9, J24)</f>
        <v>300</v>
      </c>
      <c r="E8" s="1" t="s">
        <v>23</v>
      </c>
      <c r="F8" s="6">
        <f>F6/J27</f>
        <v>18.714285714285715</v>
      </c>
      <c r="G8" s="6">
        <f>G6/J27</f>
        <v>39.035714285714285</v>
      </c>
      <c r="I8" s="37" t="s">
        <v>12</v>
      </c>
      <c r="J8" s="7">
        <v>300</v>
      </c>
      <c r="L8" s="13">
        <v>300</v>
      </c>
      <c r="M8" s="1">
        <v>599</v>
      </c>
      <c r="N8" s="20">
        <v>100</v>
      </c>
      <c r="O8" s="22">
        <v>150</v>
      </c>
      <c r="P8" s="24">
        <v>200</v>
      </c>
      <c r="Q8" s="27">
        <v>250</v>
      </c>
      <c r="R8" s="16">
        <v>300</v>
      </c>
    </row>
    <row r="9" spans="2:29" x14ac:dyDescent="0.25">
      <c r="B9" s="1" t="s">
        <v>8</v>
      </c>
      <c r="C9" s="7">
        <f>VLOOKUP(IF(C13,F7,F6),N17:P23,3)</f>
        <v>250</v>
      </c>
      <c r="E9" s="1" t="s">
        <v>21</v>
      </c>
      <c r="F9" s="7" t="str">
        <f>IF(J31&gt;=M13, "Unlimited", J31-F6)</f>
        <v>Unlimited</v>
      </c>
      <c r="G9" s="7">
        <f>50*J28 + IF(J26&lt;30,(30-J26)*G8,0)</f>
        <v>150</v>
      </c>
      <c r="I9" s="37" t="s">
        <v>24</v>
      </c>
      <c r="J9" s="7">
        <v>300</v>
      </c>
      <c r="L9" s="13">
        <v>600</v>
      </c>
      <c r="M9" s="1">
        <v>899</v>
      </c>
      <c r="N9" s="20">
        <v>75</v>
      </c>
      <c r="O9" s="22">
        <v>100</v>
      </c>
      <c r="P9" s="24">
        <v>150</v>
      </c>
      <c r="Q9" s="27">
        <v>200</v>
      </c>
      <c r="R9" s="16">
        <v>300</v>
      </c>
    </row>
    <row r="10" spans="2:29" x14ac:dyDescent="0.25">
      <c r="B10" s="1" t="s">
        <v>6</v>
      </c>
      <c r="C10" s="7">
        <f>J12</f>
        <v>300</v>
      </c>
      <c r="E10" s="8"/>
      <c r="I10" s="37" t="s">
        <v>8</v>
      </c>
      <c r="J10" s="37">
        <v>250</v>
      </c>
      <c r="L10" s="13">
        <v>900</v>
      </c>
      <c r="M10" s="1">
        <v>1199</v>
      </c>
      <c r="N10" s="20">
        <v>50</v>
      </c>
      <c r="O10" s="22">
        <v>75</v>
      </c>
      <c r="P10" s="24">
        <v>100</v>
      </c>
      <c r="Q10" s="27">
        <v>175</v>
      </c>
      <c r="R10" s="16">
        <v>300</v>
      </c>
    </row>
    <row r="11" spans="2:29" x14ac:dyDescent="0.25">
      <c r="B11" s="1" t="s">
        <v>4</v>
      </c>
      <c r="C11" s="7">
        <f>SUM(C6:C10)</f>
        <v>2393</v>
      </c>
      <c r="E11" s="65" t="s">
        <v>24</v>
      </c>
      <c r="F11" s="68"/>
      <c r="G11" s="66"/>
      <c r="I11" s="37" t="s">
        <v>48</v>
      </c>
      <c r="J11" s="7">
        <v>524</v>
      </c>
      <c r="L11" s="13">
        <v>1200</v>
      </c>
      <c r="M11" s="1">
        <v>1499</v>
      </c>
      <c r="N11" s="20">
        <v>25</v>
      </c>
      <c r="O11" s="22">
        <v>50</v>
      </c>
      <c r="P11" s="24">
        <v>75</v>
      </c>
      <c r="Q11" s="27">
        <v>125</v>
      </c>
      <c r="R11" s="16">
        <v>300</v>
      </c>
      <c r="Z11"/>
    </row>
    <row r="12" spans="2:29" x14ac:dyDescent="0.25">
      <c r="B12" s="1" t="s">
        <v>2</v>
      </c>
      <c r="C12" s="1" t="str">
        <f>VLOOKUP(C11,M27:O31,3,TRUE)</f>
        <v>Gold</v>
      </c>
      <c r="D12" s="3"/>
      <c r="E12" s="53" t="s">
        <v>50</v>
      </c>
      <c r="F12" s="54" t="s">
        <v>47</v>
      </c>
      <c r="G12" s="53" t="s">
        <v>15</v>
      </c>
      <c r="I12" s="37" t="s">
        <v>6</v>
      </c>
      <c r="J12" s="37">
        <v>300</v>
      </c>
      <c r="L12" s="13">
        <v>1500</v>
      </c>
      <c r="M12" s="1">
        <v>1799</v>
      </c>
      <c r="N12" s="20">
        <v>10</v>
      </c>
      <c r="O12" s="22">
        <v>25</v>
      </c>
      <c r="P12" s="24">
        <v>50</v>
      </c>
      <c r="Q12" s="27">
        <v>100</v>
      </c>
      <c r="R12" s="16">
        <v>250</v>
      </c>
      <c r="T12" s="2"/>
      <c r="Z12" s="9"/>
    </row>
    <row r="13" spans="2:29" x14ac:dyDescent="0.25">
      <c r="B13" s="1" t="s">
        <v>20</v>
      </c>
      <c r="C13" s="36" t="b">
        <v>0</v>
      </c>
      <c r="E13" s="1">
        <v>2</v>
      </c>
      <c r="F13" s="1">
        <v>0</v>
      </c>
      <c r="G13" s="1">
        <f>NightTimeDrive1114[[#This Row],[Penalty Weight]]*NightTimeDrive1114[[#This Row],[Duration]]</f>
        <v>0</v>
      </c>
      <c r="I13" s="37" t="s">
        <v>1</v>
      </c>
      <c r="J13" s="37">
        <v>0</v>
      </c>
      <c r="L13" s="14">
        <v>1800</v>
      </c>
      <c r="M13" s="12">
        <v>1800</v>
      </c>
      <c r="N13" s="34">
        <v>5</v>
      </c>
      <c r="O13" s="31">
        <v>10</v>
      </c>
      <c r="P13" s="32">
        <v>25</v>
      </c>
      <c r="Q13" s="28">
        <v>60</v>
      </c>
      <c r="R13" s="17">
        <v>100</v>
      </c>
      <c r="W13"/>
      <c r="Z13" s="9"/>
      <c r="AA13" s="3"/>
    </row>
    <row r="14" spans="2:29" x14ac:dyDescent="0.25">
      <c r="B14" s="1" t="s">
        <v>1</v>
      </c>
      <c r="C14" s="35">
        <f>J13</f>
        <v>0</v>
      </c>
      <c r="E14" s="1" t="s">
        <v>49</v>
      </c>
      <c r="F14" s="1">
        <f>SUBTOTAL(109,NightTimeDrive1114[Duration])</f>
        <v>0</v>
      </c>
      <c r="G14" s="1">
        <f>SUBTOTAL(109,NightTimeDrive1114[Points])</f>
        <v>0</v>
      </c>
      <c r="I14" s="7" t="s">
        <v>34</v>
      </c>
      <c r="J14" s="7" t="s">
        <v>5</v>
      </c>
      <c r="T14"/>
      <c r="U14"/>
      <c r="V14"/>
      <c r="W14"/>
      <c r="X14"/>
    </row>
    <row r="15" spans="2:29" x14ac:dyDescent="0.25">
      <c r="B15" s="1" t="s">
        <v>0</v>
      </c>
      <c r="C15" s="51" t="str">
        <f>_xlfn.CONCAT("Đ",J32*VLOOKUP(C12,O26:P31,2,FALSE)*10)</f>
        <v>Đ0</v>
      </c>
      <c r="D15" s="4"/>
      <c r="N15" s="65" t="str">
        <f>_xlfn.CONCAT("Distance Points for ",J14)</f>
        <v>Distance Points for Gold</v>
      </c>
      <c r="O15" s="68"/>
      <c r="P15" s="66"/>
      <c r="T15"/>
      <c r="U15"/>
      <c r="V15" s="10"/>
      <c r="W15"/>
      <c r="X15"/>
      <c r="AA15" s="3"/>
      <c r="AB15" s="3"/>
    </row>
    <row r="16" spans="2:29" x14ac:dyDescent="0.25">
      <c r="B16" s="1" t="s">
        <v>45</v>
      </c>
      <c r="C16" s="35">
        <f>MAX(0,C11-C14)</f>
        <v>2393</v>
      </c>
      <c r="I16" s="69" t="s">
        <v>36</v>
      </c>
      <c r="J16" s="69"/>
      <c r="N16" s="55" t="s">
        <v>17</v>
      </c>
      <c r="O16" s="55" t="s">
        <v>16</v>
      </c>
      <c r="P16" s="55" t="s">
        <v>15</v>
      </c>
      <c r="T16"/>
      <c r="U16"/>
      <c r="W16"/>
    </row>
    <row r="17" spans="9:17" ht="14.45" customHeight="1" x14ac:dyDescent="0.25">
      <c r="I17" s="55" t="s">
        <v>29</v>
      </c>
      <c r="J17" s="55" t="s">
        <v>26</v>
      </c>
      <c r="N17" s="1" cm="1">
        <f t="array" ref="N17:N23">DistancePointsStefan[Lower]</f>
        <v>0</v>
      </c>
      <c r="O17" s="1" cm="1">
        <f t="array" ref="O17:O23">DistancePointsStefan[Upper]</f>
        <v>299</v>
      </c>
      <c r="P17" s="1" cm="1">
        <f t="array" ref="P17:P23">_xlfn.XLOOKUP(J14,DistancePointsStefan[#Headers],DistancePointsStefan[])</f>
        <v>300</v>
      </c>
    </row>
    <row r="18" spans="9:17" x14ac:dyDescent="0.25">
      <c r="I18" s="1" t="s">
        <v>28</v>
      </c>
      <c r="J18" s="1" t="s">
        <v>54</v>
      </c>
      <c r="N18" s="1">
        <v>300</v>
      </c>
      <c r="O18" s="1">
        <v>599</v>
      </c>
      <c r="P18" s="1">
        <v>250</v>
      </c>
    </row>
    <row r="19" spans="9:17" x14ac:dyDescent="0.25">
      <c r="I19" s="1" t="s">
        <v>31</v>
      </c>
      <c r="J19" s="1">
        <v>10</v>
      </c>
      <c r="N19" s="1">
        <v>600</v>
      </c>
      <c r="O19" s="1">
        <v>899</v>
      </c>
      <c r="P19" s="1">
        <v>200</v>
      </c>
    </row>
    <row r="20" spans="9:17" x14ac:dyDescent="0.25">
      <c r="I20" s="1" t="s">
        <v>52</v>
      </c>
      <c r="J20" s="56">
        <v>45806</v>
      </c>
      <c r="N20" s="1">
        <v>900</v>
      </c>
      <c r="O20" s="1">
        <v>1199</v>
      </c>
      <c r="P20" s="1">
        <v>175</v>
      </c>
    </row>
    <row r="21" spans="9:17" x14ac:dyDescent="0.25">
      <c r="N21" s="1">
        <v>1200</v>
      </c>
      <c r="O21" s="1">
        <v>1499</v>
      </c>
      <c r="P21" s="1">
        <v>125</v>
      </c>
    </row>
    <row r="22" spans="9:17" x14ac:dyDescent="0.25">
      <c r="I22" s="65" t="s">
        <v>27</v>
      </c>
      <c r="J22" s="66"/>
      <c r="N22" s="1">
        <v>1500</v>
      </c>
      <c r="O22" s="1">
        <v>1799</v>
      </c>
      <c r="P22" s="1">
        <v>100</v>
      </c>
    </row>
    <row r="23" spans="9:17" x14ac:dyDescent="0.25">
      <c r="I23" s="55" t="s">
        <v>29</v>
      </c>
      <c r="J23" s="55" t="s">
        <v>26</v>
      </c>
      <c r="N23" s="1">
        <v>1800</v>
      </c>
      <c r="O23" s="1">
        <v>1800</v>
      </c>
      <c r="P23" s="1">
        <v>60</v>
      </c>
    </row>
    <row r="24" spans="9:17" x14ac:dyDescent="0.25">
      <c r="I24" s="57" t="s">
        <v>24</v>
      </c>
      <c r="J24" s="58">
        <f>MAX(0,300-NightTimeDrive1114[[#Totals],[Points]])</f>
        <v>300</v>
      </c>
    </row>
    <row r="25" spans="9:17" x14ac:dyDescent="0.25">
      <c r="I25" s="59" t="s">
        <v>30</v>
      </c>
      <c r="J25" s="60" t="str">
        <f>IF( AND( J9&lt;=J24+J19, J9&gt;=J24-J19 ), "Extract", "Calculate")</f>
        <v>Extract</v>
      </c>
      <c r="M25" s="69" t="s">
        <v>22</v>
      </c>
      <c r="N25" s="69"/>
      <c r="O25" s="69"/>
      <c r="P25" s="69"/>
      <c r="Q25" s="69"/>
    </row>
    <row r="26" spans="9:17" x14ac:dyDescent="0.25">
      <c r="I26" s="61" t="str">
        <f ca="1">_xlfn.CONCAT("Days ",TEXT(TODAY(), "mmm yyyy"))</f>
        <v>Days May 2025</v>
      </c>
      <c r="J26" s="62">
        <f>DAY(EOMONTH(J20, 0))</f>
        <v>31</v>
      </c>
      <c r="M26" s="55" t="s">
        <v>17</v>
      </c>
      <c r="N26" s="55" t="s">
        <v>16</v>
      </c>
      <c r="O26" s="55" t="s">
        <v>14</v>
      </c>
      <c r="P26" s="55" t="s">
        <v>13</v>
      </c>
      <c r="Q26" s="55" t="s">
        <v>44</v>
      </c>
    </row>
    <row r="27" spans="9:17" x14ac:dyDescent="0.25">
      <c r="I27" s="61" t="s">
        <v>32</v>
      </c>
      <c r="J27" s="62">
        <f>DAY(J20)-1</f>
        <v>28</v>
      </c>
      <c r="M27" s="39">
        <v>0</v>
      </c>
      <c r="N27" s="20">
        <v>799</v>
      </c>
      <c r="O27" s="20" t="s">
        <v>11</v>
      </c>
      <c r="P27" s="21">
        <v>0.05</v>
      </c>
      <c r="Q27" s="46" t="s">
        <v>43</v>
      </c>
    </row>
    <row r="28" spans="9:17" x14ac:dyDescent="0.25">
      <c r="I28" s="59" t="s">
        <v>33</v>
      </c>
      <c r="J28" s="60">
        <f>J26-J27</f>
        <v>3</v>
      </c>
      <c r="M28" s="40">
        <v>800</v>
      </c>
      <c r="N28" s="22">
        <v>1599</v>
      </c>
      <c r="O28" s="22" t="s">
        <v>9</v>
      </c>
      <c r="P28" s="23">
        <v>0.1</v>
      </c>
      <c r="Q28" s="47" t="s">
        <v>42</v>
      </c>
    </row>
    <row r="29" spans="9:17" x14ac:dyDescent="0.25">
      <c r="I29" s="57" t="s">
        <v>37</v>
      </c>
      <c r="J29" s="63">
        <f>C11-VLOOKUP(C11,M27:O31,1,TRUE)</f>
        <v>193</v>
      </c>
      <c r="M29" s="41">
        <v>1600</v>
      </c>
      <c r="N29" s="24">
        <v>2199</v>
      </c>
      <c r="O29" s="24" t="s">
        <v>7</v>
      </c>
      <c r="P29" s="25">
        <v>0.2</v>
      </c>
      <c r="Q29" s="48" t="s">
        <v>41</v>
      </c>
    </row>
    <row r="30" spans="9:17" x14ac:dyDescent="0.25">
      <c r="I30" s="61" t="s">
        <v>38</v>
      </c>
      <c r="J30" s="64">
        <f>MAX(0,C9-J29)</f>
        <v>57</v>
      </c>
      <c r="M30" s="42">
        <v>2200</v>
      </c>
      <c r="N30" s="18">
        <v>2499</v>
      </c>
      <c r="O30" s="18" t="s">
        <v>5</v>
      </c>
      <c r="P30" s="19">
        <v>0.35</v>
      </c>
      <c r="Q30" s="49" t="s">
        <v>40</v>
      </c>
    </row>
    <row r="31" spans="9:17" x14ac:dyDescent="0.25">
      <c r="I31" s="59" t="s">
        <v>35</v>
      </c>
      <c r="J31" s="60" cm="1">
        <f t="array" ref="J31">MAX(_xlfn._xlws.FILTER(_xlfn.ANCHORARRAY(O17),_xlfn.ANCHORARRAY( P17)&gt;=J30))</f>
        <v>1800</v>
      </c>
      <c r="M31" s="43">
        <v>2500</v>
      </c>
      <c r="N31" s="44">
        <v>3000</v>
      </c>
      <c r="O31" s="44" t="s">
        <v>3</v>
      </c>
      <c r="P31" s="45">
        <v>0.5</v>
      </c>
      <c r="Q31" s="50" t="s">
        <v>39</v>
      </c>
    </row>
    <row r="32" spans="9:17" x14ac:dyDescent="0.25">
      <c r="I32" s="11" t="s">
        <v>51</v>
      </c>
      <c r="J32" s="7">
        <f>MIN(C14,C11)</f>
        <v>0</v>
      </c>
    </row>
    <row r="33" spans="9:10" x14ac:dyDescent="0.25">
      <c r="I33" s="11" t="s">
        <v>53</v>
      </c>
      <c r="J33" s="7">
        <f>SUM(J7:J10,J12)</f>
        <v>2243</v>
      </c>
    </row>
  </sheetData>
  <protectedRanges>
    <protectedRange sqref="C7:C8 C10 C16 C14" name="RequiresInput_1"/>
    <protectedRange sqref="F6:G6" name="RequiresInput_1_1"/>
  </protectedRanges>
  <scenarios current="1" show="1">
    <scenario name="Actual"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2330" numFmtId="1"/>
      <inputCells r="J14" val="Diamond"/>
    </scenario>
    <scenario name="LastMonthGold" locked="1" count="8" user="Stefan Oberholzer" comment="Created by Stefan Oberholzer on 2025/03/31">
      <inputCells r="J7" val="1489" numFmtId="1"/>
      <inputCells r="J8" val="300" numFmtId="1"/>
      <inputCells r="J9" val="300" numFmtId="1"/>
      <inputCells r="J10" val="300" numFmtId="1"/>
      <inputCells r="J11" val="2000" numFmtId="1"/>
      <inputCells r="J12" val="300" numFmtId="1"/>
      <inputCells r="J13" val="0" numFmtId="1"/>
      <inputCells r="J14" val="Gold"/>
    </scenario>
  </scenarios>
  <dataConsolidate/>
  <mergeCells count="9">
    <mergeCell ref="M25:Q25"/>
    <mergeCell ref="B2:G3"/>
    <mergeCell ref="I5:J5"/>
    <mergeCell ref="L5:R5"/>
    <mergeCell ref="I22:J22"/>
    <mergeCell ref="AB5:AC5"/>
    <mergeCell ref="E11:G11"/>
    <mergeCell ref="N15:P15"/>
    <mergeCell ref="I16:J16"/>
  </mergeCells>
  <conditionalFormatting sqref="B11:C12">
    <cfRule type="expression" dxfId="42" priority="1">
      <formula>$C$12="Blue"</formula>
    </cfRule>
    <cfRule type="expression" dxfId="41" priority="2">
      <formula>$C$12="Bronze"</formula>
    </cfRule>
    <cfRule type="expression" dxfId="40" priority="3">
      <formula>$C$12="Silver"</formula>
    </cfRule>
    <cfRule type="expression" dxfId="39" priority="4">
      <formula>$C$12="Gold"</formula>
    </cfRule>
    <cfRule type="expression" dxfId="38" priority="5">
      <formula>$C$12="Diamond"</formula>
    </cfRule>
  </conditionalFormatting>
  <conditionalFormatting sqref="P17:P23">
    <cfRule type="expression" dxfId="37" priority="6">
      <formula>$J$14="Blue"</formula>
    </cfRule>
    <cfRule type="expression" dxfId="36" priority="7">
      <formula>$J$14="Bronze"</formula>
    </cfRule>
    <cfRule type="expression" dxfId="35" priority="8">
      <formula>$J$14="Silver"</formula>
    </cfRule>
    <cfRule type="expression" dxfId="34" priority="9">
      <formula>$J$14="Gold"</formula>
    </cfRule>
    <cfRule type="expression" dxfId="33" priority="10">
      <formula>$J$14="Diamond"</formula>
    </cfRule>
  </conditionalFormatting>
  <dataValidations count="1">
    <dataValidation allowBlank="1" showInputMessage="1" showErrorMessage="1" prompt="The predicted status gives a realistic prediction of the driving status. If the prediction is disable, best case scenario is assumed, which is 50 point drive days and the distance remains in the same bracket." sqref="C13" xr:uid="{107336B8-9C23-4AB1-A73A-632E482A9F1D}"/>
  </dataValidations>
  <pageMargins left="0.7" right="0.7" top="0.75" bottom="0.75" header="0.3" footer="0.3"/>
  <pageSetup scale="32" orientation="portrait" r:id="rId1"/>
  <tableParts count="3">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AE3C97B-B9F0-403A-BF5F-014AEC3C86A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DEV</vt:lpstr>
      <vt:lpstr>DEV!Username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Christiaan Oberholzer</dc:creator>
  <cp:lastModifiedBy>Stefan Oberholzer</cp:lastModifiedBy>
  <cp:lastPrinted>2025-03-11T12:37:31Z</cp:lastPrinted>
  <dcterms:created xsi:type="dcterms:W3CDTF">2023-09-18T15:21:34Z</dcterms:created>
  <dcterms:modified xsi:type="dcterms:W3CDTF">2025-05-29T12:03:31Z</dcterms:modified>
</cp:coreProperties>
</file>